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OneDrive\Desktop\Quant\Newton_Rapson\"/>
    </mc:Choice>
  </mc:AlternateContent>
  <xr:revisionPtr revIDLastSave="0" documentId="13_ncr:1_{D59B111B-9437-4E8E-AF39-890D313712CB}" xr6:coauthVersionLast="47" xr6:coauthVersionMax="47" xr10:uidLastSave="{00000000-0000-0000-0000-000000000000}"/>
  <bookViews>
    <workbookView xWindow="-108" yWindow="-108" windowWidth="23256" windowHeight="12456" xr2:uid="{4B22A6FC-DFE1-4114-A0B0-6E1352FEB048}"/>
  </bookViews>
  <sheets>
    <sheet name="Summary" sheetId="2" r:id="rId1"/>
    <sheet name="Bond_Yield" sheetId="1" r:id="rId2"/>
  </sheets>
  <definedNames>
    <definedName name="CouponFraction">Bond_Yield!$D$42</definedName>
    <definedName name="CouponRate">Bond_Yield!$D$31</definedName>
    <definedName name="Face_Value">Bond_Yield!$D$27</definedName>
    <definedName name="Frequency">Bond_Yield!$D$32</definedName>
    <definedName name="GuessYTM">Bond_Yield!$D$46</definedName>
    <definedName name="IterationCount">Bond_Yield!$I$66</definedName>
    <definedName name="IterationResults">Bond_Yield!$N$55:$N$84</definedName>
    <definedName name="Result">Bond_Yield!$J$60</definedName>
    <definedName name="TargetPrice">Bond_Yield!$J$55</definedName>
    <definedName name="TimePeriod">Bond_Yield!$D$35</definedName>
    <definedName name="Tolerance">Bond_Yield!$N$52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2" i="1" l="1"/>
  <c r="D46" i="1"/>
  <c r="J53" i="1"/>
  <c r="D35" i="1"/>
  <c r="D47" i="1" l="1"/>
  <c r="M45" i="1" s="1"/>
  <c r="L47" i="1" l="1"/>
  <c r="L28" i="1"/>
  <c r="L46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28" i="1"/>
  <c r="D39" i="1" s="1"/>
  <c r="D38" i="1"/>
  <c r="E33" i="1"/>
  <c r="D40" i="1" l="1"/>
  <c r="D41" i="1" s="1"/>
  <c r="J54" i="1" l="1"/>
  <c r="J55" i="1" s="1"/>
  <c r="D42" i="1"/>
  <c r="M35" i="1" l="1"/>
  <c r="N35" i="1" s="1"/>
  <c r="M36" i="1"/>
  <c r="N36" i="1" s="1"/>
  <c r="M37" i="1"/>
  <c r="N37" i="1" s="1"/>
  <c r="M42" i="1"/>
  <c r="N42" i="1" s="1"/>
  <c r="M28" i="1"/>
  <c r="N28" i="1" s="1"/>
  <c r="M29" i="1"/>
  <c r="N29" i="1" s="1"/>
  <c r="M34" i="1"/>
  <c r="N34" i="1" s="1"/>
  <c r="M32" i="1"/>
  <c r="N32" i="1" s="1"/>
  <c r="M44" i="1"/>
  <c r="N44" i="1" s="1"/>
  <c r="M41" i="1"/>
  <c r="N41" i="1" s="1"/>
  <c r="M47" i="1"/>
  <c r="N47" i="1" s="1"/>
  <c r="M43" i="1"/>
  <c r="M31" i="1"/>
  <c r="N31" i="1" s="1"/>
  <c r="M40" i="1"/>
  <c r="N40" i="1" s="1"/>
  <c r="M38" i="1"/>
  <c r="N38" i="1" s="1"/>
  <c r="M39" i="1"/>
  <c r="N39" i="1" s="1"/>
  <c r="M30" i="1"/>
  <c r="N30" i="1" s="1"/>
  <c r="M46" i="1"/>
  <c r="N46" i="1" s="1"/>
  <c r="N45" i="1"/>
  <c r="M33" i="1"/>
  <c r="N33" i="1" s="1"/>
  <c r="N43" i="1"/>
  <c r="N48" i="1" l="1"/>
</calcChain>
</file>

<file path=xl/sharedStrings.xml><?xml version="1.0" encoding="utf-8"?>
<sst xmlns="http://schemas.openxmlformats.org/spreadsheetml/2006/main" count="93" uniqueCount="92">
  <si>
    <t>Maturity</t>
  </si>
  <si>
    <t>Accured days</t>
  </si>
  <si>
    <t>Clean Price</t>
  </si>
  <si>
    <t>Coupon</t>
  </si>
  <si>
    <t>frequency</t>
  </si>
  <si>
    <t>Issue date</t>
  </si>
  <si>
    <t>Buy date</t>
  </si>
  <si>
    <t>Bond Details</t>
  </si>
  <si>
    <t>Bond Cash Flow</t>
  </si>
  <si>
    <t xml:space="preserve">Start </t>
  </si>
  <si>
    <t>End</t>
  </si>
  <si>
    <t>Days</t>
  </si>
  <si>
    <t xml:space="preserve">PV </t>
  </si>
  <si>
    <t>Yield To Maturity(YTM)</t>
  </si>
  <si>
    <t>YTM used</t>
  </si>
  <si>
    <t>Current Coupon</t>
  </si>
  <si>
    <t>Remaining</t>
  </si>
  <si>
    <t>Total</t>
  </si>
  <si>
    <t>Accured Fraction</t>
  </si>
  <si>
    <t>Coupon Fraction</t>
  </si>
  <si>
    <t>Face Value</t>
  </si>
  <si>
    <t>Accured</t>
  </si>
  <si>
    <t>Periods</t>
  </si>
  <si>
    <t>Tolerance</t>
  </si>
  <si>
    <t xml:space="preserve">Coupon </t>
  </si>
  <si>
    <t xml:space="preserve">DiscFact </t>
  </si>
  <si>
    <t>Price</t>
  </si>
  <si>
    <t>YTM ( Final)</t>
  </si>
  <si>
    <t>Iteration Results</t>
  </si>
  <si>
    <t>I1</t>
  </si>
  <si>
    <t>I2</t>
  </si>
  <si>
    <t>I9</t>
  </si>
  <si>
    <t>I5</t>
  </si>
  <si>
    <t>I4</t>
  </si>
  <si>
    <t>I3</t>
  </si>
  <si>
    <t>I6</t>
  </si>
  <si>
    <t>I7</t>
  </si>
  <si>
    <t>I8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</si>
  <si>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</si>
  <si>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</si>
  <si>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</si>
  <si>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</si>
  <si>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</si>
  <si>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</si>
  <si>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</si>
  <si>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</si>
  <si>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</si>
  <si>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</si>
  <si>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</si>
  <si>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</si>
  <si>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</si>
  <si>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</si>
  <si>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</si>
  <si>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</si>
  <si>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</si>
  <si>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</si>
  <si>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</si>
  <si>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</si>
  <si>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</si>
  <si>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where</t>
  </si>
  <si>
    <t>C = Annual coupon value</t>
  </si>
  <si>
    <t>y = IRR or yield to maturity</t>
  </si>
  <si>
    <t>t = number of coupons per year</t>
  </si>
  <si>
    <t>n = number of years to maturity</t>
  </si>
  <si>
    <t>a = fraction of current coupon remaining = ( No. of days to next coupon / No. days in current coupon period )</t>
  </si>
  <si>
    <t>m = number of whole coupons to maturity</t>
  </si>
  <si>
    <r>
      <t>Clean Price</t>
    </r>
    <r>
      <rPr>
        <b/>
        <vertAlign val="superscript"/>
        <sz val="11"/>
        <color theme="1"/>
        <rFont val="Calibri"/>
        <family val="2"/>
        <scheme val="minor"/>
      </rPr>
      <t>1</t>
    </r>
  </si>
  <si>
    <r>
      <t>Dirty Price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</si>
  <si>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Clean Price</t>
    </r>
    <r>
      <rPr>
        <vertAlign val="superscript"/>
        <sz val="11"/>
        <color theme="1"/>
        <rFont val="Calibri"/>
        <family val="2"/>
        <scheme val="minor"/>
      </rPr>
      <t>1</t>
    </r>
  </si>
  <si>
    <t xml:space="preserve">It represents the flat price of the bond itself, without accounting for any interest that has accumulated since the last coupon payment date. </t>
  </si>
  <si>
    <r>
      <t>Clean Price</t>
    </r>
    <r>
      <rPr>
        <sz val="11"/>
        <color theme="1"/>
        <rFont val="Calibri"/>
        <family val="2"/>
        <scheme val="minor"/>
      </rPr>
      <t xml:space="preserve"> refers to the price of a bond excluding accrued interest.</t>
    </r>
  </si>
  <si>
    <t xml:space="preserve"> Clean price is sometimes also referred to as "flat price.</t>
  </si>
  <si>
    <r>
      <t>Dirty Price</t>
    </r>
    <r>
      <rPr>
        <vertAlign val="superscript"/>
        <sz val="11"/>
        <color theme="1"/>
        <rFont val="Calibri"/>
        <family val="2"/>
        <scheme val="minor"/>
      </rPr>
      <t>2</t>
    </r>
  </si>
  <si>
    <r>
      <t>Dirty Price</t>
    </r>
    <r>
      <rPr>
        <sz val="11"/>
        <color theme="1"/>
        <rFont val="Calibri"/>
        <family val="2"/>
        <scheme val="minor"/>
      </rPr>
      <t xml:space="preserve"> is the price of a bond including accrued interest.</t>
    </r>
  </si>
  <si>
    <t>It reflects the actual amount that the buyer needs to pay to purchase the bond,</t>
  </si>
  <si>
    <t xml:space="preserve"> which includes the clean price plus the accrued interest that the seller has earned but has not yet received.</t>
  </si>
  <si>
    <t>Accrued interest is the interest that has accumulated on the bond since the last coupon payment date.</t>
  </si>
  <si>
    <t>When a bond is traded between coupon payments, the buyer compensates the seller for the accrued interest by paying the dirty price.</t>
  </si>
  <si>
    <r>
      <t>Initial Guess</t>
    </r>
    <r>
      <rPr>
        <vertAlign val="superscript"/>
        <sz val="11"/>
        <color rgb="FF3F3F76"/>
        <rFont val="Calibri"/>
        <family val="2"/>
        <scheme val="minor"/>
      </rPr>
      <t>3</t>
    </r>
  </si>
  <si>
    <t>Initial guess is taken by approximate yield value calculated by</t>
  </si>
  <si>
    <t>a = Approx yield estimate</t>
  </si>
  <si>
    <t>n =Time to maturity</t>
  </si>
  <si>
    <t>C = Annual Coupon Value</t>
  </si>
  <si>
    <t>F = Face Value</t>
  </si>
  <si>
    <t>P = The Price of the Bond</t>
  </si>
  <si>
    <t>Iteration: 20</t>
  </si>
  <si>
    <t xml:space="preserve"> The calculation was executed in Excel VBA, which allowed for precise results with minimal iterations.</t>
  </si>
  <si>
    <t xml:space="preserve"> The Yield to Maturity (YTM) of a bond was computed for its dirty price using the Newton-Raphson method.</t>
  </si>
  <si>
    <t>Summary:</t>
  </si>
  <si>
    <t xml:space="preserve"> The calculated YTM matched the value provided by the Bloomberg Terminal, validating the accuracy and effectiveness of the method.</t>
  </si>
  <si>
    <t>(Francis, Jack C. Investments, Second Edition, New York: McGraw-Hill Book Company, 1976.)</t>
  </si>
  <si>
    <r>
      <t>Initial Guess</t>
    </r>
    <r>
      <rPr>
        <vertAlign val="superscript"/>
        <sz val="11"/>
        <color theme="1"/>
        <rFont val="Calibri"/>
        <family val="2"/>
        <scheme val="minor"/>
      </rPr>
      <t>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</si>
</sst>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perscript"/>
      <sz val="11"/>
      <color rgb="FF3F3F76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8"/>
      <color rgb="FF00B0F0"/>
      <name val="Times New Roman"/>
      <family val="1"/>
    </font>
    <font>
      <sz val="14"/>
      <color rgb="FF9C5700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5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3" applyNumberFormat="0" applyAlignment="0" applyProtection="0"/>
    <xf numFmtId="0" fontId="6" fillId="5" borderId="4" applyNumberFormat="0" applyAlignment="0" applyProtection="0"/>
    <xf numFmtId="0" fontId="2" fillId="6" borderId="0" applyNumberFormat="0" applyBorder="0" applyAlignment="0" applyProtection="0"/>
  </cellStyleXfs>
  <cellXfs count="24">
    <xf numFmtId="0" fontId="0" fillId="0" borderId="0" xfId="0"/>
    <xf numFmtId="14" fontId="0" fillId="0" borderId="0" xfId="0" applyNumberFormat="1"/>
    <xf numFmtId="10" fontId="0" fillId="0" borderId="0" xfId="0" applyNumberFormat="1"/>
    <xf numFmtId="1" fontId="0" fillId="0" borderId="0" xfId="0" applyNumberFormat="1"/>
    <xf numFmtId="0" fontId="1" fillId="0" borderId="0" xfId="0" applyFont="1"/>
    <xf numFmtId="164" fontId="0" fillId="0" borderId="0" xfId="0" applyNumberFormat="1"/>
    <xf numFmtId="11" fontId="0" fillId="0" borderId="0" xfId="0" applyNumberFormat="1"/>
    <xf numFmtId="0" fontId="6" fillId="5" borderId="4" xfId="4"/>
    <xf numFmtId="164" fontId="3" fillId="2" borderId="2" xfId="1" applyNumberFormat="1" applyBorder="1"/>
    <xf numFmtId="0" fontId="3" fillId="2" borderId="1" xfId="1" applyBorder="1"/>
    <xf numFmtId="0" fontId="3" fillId="2" borderId="0" xfId="1"/>
    <xf numFmtId="164" fontId="3" fillId="2" borderId="0" xfId="1" applyNumberFormat="1"/>
    <xf numFmtId="11" fontId="4" fillId="3" borderId="0" xfId="2" applyNumberFormat="1"/>
    <xf numFmtId="0" fontId="2" fillId="6" borderId="0" xfId="5"/>
    <xf numFmtId="0" fontId="1" fillId="6" borderId="0" xfId="5" applyFont="1"/>
    <xf numFmtId="0" fontId="5" fillId="4" borderId="3" xfId="3"/>
    <xf numFmtId="10" fontId="5" fillId="4" borderId="3" xfId="3" applyNumberFormat="1"/>
    <xf numFmtId="0" fontId="6" fillId="5" borderId="4" xfId="4" applyNumberFormat="1"/>
    <xf numFmtId="0" fontId="1" fillId="0" borderId="0" xfId="0" applyFont="1" applyAlignment="1">
      <alignment horizontal="center"/>
    </xf>
    <xf numFmtId="0" fontId="11" fillId="0" borderId="0" xfId="0" applyFont="1"/>
    <xf numFmtId="0" fontId="12" fillId="0" borderId="0" xfId="0" applyFont="1"/>
    <xf numFmtId="0" fontId="13" fillId="3" borderId="0" xfId="2" applyFont="1"/>
    <xf numFmtId="0" fontId="0" fillId="0" borderId="0" xfId="0" applyFont="1"/>
    <xf numFmtId="0" fontId="14" fillId="0" borderId="0" xfId="0" applyFont="1"/>
  </cellXfs>
  <cellStyles count="6">
    <cellStyle name="40% - Accent5" xfId="5" builtinId="47"/>
    <cellStyle name="Good" xfId="1" builtinId="26"/>
    <cellStyle name="Input" xfId="3" builtinId="20"/>
    <cellStyle name="Neutral" xfId="2" builtinId="28"/>
    <cellStyle name="Normal" xfId="0" builtinId="0"/>
    <cellStyle name="Output" xfId="4" builtinId="21"/>
  </cellStyles>
  <dxfs count="8"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123825</xdr:colOff>
      <xdr:row>55</xdr:row>
      <xdr:rowOff>80962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8644F2-2054-4AA2-417A-71C14538F9C0}"/>
            </a:ext>
          </a:extLst>
        </xdr:cNvPr>
        <xdr:cNvSpPr txBox="1"/>
      </xdr:nvSpPr>
      <xdr:spPr>
        <a:xfrm>
          <a:off x="11420475" y="100345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IN" sz="1100"/>
        </a:p>
      </xdr:txBody>
    </xdr:sp>
    <xdr:clientData/>
  </xdr:oneCellAnchor>
  <xdr:twoCellAnchor>
    <xdr:from>
      <xdr:col>7</xdr:col>
      <xdr:colOff>1057275</xdr:colOff>
      <xdr:row>60</xdr:row>
      <xdr:rowOff>123825</xdr:rowOff>
    </xdr:from>
    <xdr:to>
      <xdr:col>9</xdr:col>
      <xdr:colOff>666750</xdr:colOff>
      <xdr:row>63</xdr:row>
      <xdr:rowOff>95250</xdr:rowOff>
    </xdr:to>
    <xdr:sp macro="[0]!Newton_Rapso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4A261FD-2951-ED32-0CD9-78A5A8E232CC}"/>
            </a:ext>
          </a:extLst>
        </xdr:cNvPr>
        <xdr:cNvSpPr/>
      </xdr:nvSpPr>
      <xdr:spPr>
        <a:xfrm>
          <a:off x="6057900" y="10982325"/>
          <a:ext cx="1457325" cy="5143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Solver</a:t>
          </a:r>
        </a:p>
        <a:p>
          <a:pPr algn="l"/>
          <a:endParaRPr lang="en-IN" sz="1100"/>
        </a:p>
      </xdr:txBody>
    </xdr:sp>
    <xdr:clientData/>
  </xdr:twoCellAnchor>
  <xdr:oneCellAnchor>
    <xdr:from>
      <xdr:col>14</xdr:col>
      <xdr:colOff>485775</xdr:colOff>
      <xdr:row>42</xdr:row>
      <xdr:rowOff>90487</xdr:rowOff>
    </xdr:from>
    <xdr:ext cx="6002925" cy="5295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97A8020-C84D-A298-52CE-9CBF9868B119}"/>
                </a:ext>
              </a:extLst>
            </xdr:cNvPr>
            <xdr:cNvSpPr txBox="1"/>
          </xdr:nvSpPr>
          <xdr:spPr>
            <a:xfrm>
              <a:off x="11058525" y="7691437"/>
              <a:ext cx="6002925" cy="5295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𝑃𝑟𝑒𝑠𝑒𝑛𝑡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𝑉𝑎𝑙𝑢𝑒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type m:val="lin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den>
                        </m:f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(1+</m:t>
                            </m:r>
                            <m:f>
                              <m:fPr>
                                <m:type m:val="lin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den>
                            </m:f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type m:val="lin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den>
                        </m:f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(1+</m:t>
                            </m:r>
                            <m:f>
                              <m:fPr>
                                <m:type m:val="lin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den>
                            </m:f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+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type m:val="lin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den>
                        </m:f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(1+</m:t>
                            </m:r>
                            <m:f>
                              <m:fPr>
                                <m:type m:val="lin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den>
                            </m:f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nor/>
                      </m:rPr>
                      <a:rPr lang="en-US" sz="11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+ ... +  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type m:val="lin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𝑃𝑟𝑖𝑛𝑐𝑖𝑝𝑎𝑙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+ 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den>
                        </m:f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(1+</m:t>
                            </m:r>
                            <m:f>
                              <m:fPr>
                                <m:type m:val="lin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den>
                            </m:f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IN">
                <a:effectLst/>
              </a:endParaRPr>
            </a:p>
            <a:p>
              <a:endParaRPr lang="en-IN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97A8020-C84D-A298-52CE-9CBF9868B119}"/>
                </a:ext>
              </a:extLst>
            </xdr:cNvPr>
            <xdr:cNvSpPr txBox="1"/>
          </xdr:nvSpPr>
          <xdr:spPr>
            <a:xfrm>
              <a:off x="11058525" y="7691437"/>
              <a:ext cx="6002925" cy="5295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𝑃𝑟𝑒𝑠𝑒𝑛𝑡 𝑉𝑎𝑙𝑢𝑒=  (𝐶∕𝑡)/〖(1+𝑦∕𝑡)〗^𝑎 +(𝐶∕𝑡)/〖(1+𝑦∕𝑡)〗^(𝑎+1)   +(𝐶∕𝑡)/〖(1+𝑦∕𝑡)〗^(𝑎+2)   "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 ... +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 (〖𝑃𝑟𝑖𝑛𝑐𝑖𝑝𝑎𝑙 + 𝐶〗∕𝑡)/〖(1+𝑦∕𝑡)〗^(𝑎+𝑚) </a:t>
              </a:r>
              <a:endParaRPr lang="en-IN">
                <a:effectLst/>
              </a:endParaRPr>
            </a:p>
            <a:p>
              <a:endParaRPr lang="en-IN" sz="1100"/>
            </a:p>
          </xdr:txBody>
        </xdr:sp>
      </mc:Fallback>
    </mc:AlternateContent>
    <xdr:clientData/>
  </xdr:oneCellAnchor>
  <xdr:twoCellAnchor editAs="oneCell">
    <xdr:from>
      <xdr:col>0</xdr:col>
      <xdr:colOff>323850</xdr:colOff>
      <xdr:row>1</xdr:row>
      <xdr:rowOff>57150</xdr:rowOff>
    </xdr:from>
    <xdr:to>
      <xdr:col>13</xdr:col>
      <xdr:colOff>95250</xdr:colOff>
      <xdr:row>23</xdr:row>
      <xdr:rowOff>12021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F218CDE-C7A3-4737-91FF-ECB9FEBF7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850" y="238125"/>
          <a:ext cx="9582150" cy="3936321"/>
        </a:xfrm>
        <a:prstGeom prst="rect">
          <a:avLst/>
        </a:prstGeom>
      </xdr:spPr>
    </xdr:pic>
    <xdr:clientData/>
  </xdr:twoCellAnchor>
  <xdr:oneCellAnchor>
    <xdr:from>
      <xdr:col>18</xdr:col>
      <xdr:colOff>43417</xdr:colOff>
      <xdr:row>68</xdr:row>
      <xdr:rowOff>132907</xdr:rowOff>
    </xdr:from>
    <xdr:ext cx="1391979" cy="4412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BA5AD65-39AA-D70D-0B61-B03BBE094C7F}"/>
                </a:ext>
              </a:extLst>
            </xdr:cNvPr>
            <xdr:cNvSpPr txBox="1"/>
          </xdr:nvSpPr>
          <xdr:spPr>
            <a:xfrm>
              <a:off x="13307533" y="12891977"/>
              <a:ext cx="1391979" cy="4412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IN" sz="1800"/>
                <a:t>a = </a:t>
              </a:r>
              <a14:m>
                <m:oMath xmlns:m="http://schemas.openxmlformats.org/officeDocument/2006/math">
                  <m:f>
                    <m:fPr>
                      <m:ctrlPr>
                        <a:rPr lang="en-IN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IN" sz="18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en-IN" sz="1800" b="0" i="1">
                          <a:latin typeface="Cambria Math" panose="02040503050406030204" pitchFamily="18" charset="0"/>
                        </a:rPr>
                        <m:t>+(</m:t>
                      </m:r>
                      <m:r>
                        <a:rPr lang="en-IN" sz="1800" b="0" i="1">
                          <a:latin typeface="Cambria Math" panose="02040503050406030204" pitchFamily="18" charset="0"/>
                        </a:rPr>
                        <m:t>𝐹</m:t>
                      </m:r>
                      <m:r>
                        <a:rPr lang="en-IN" sz="18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IN" sz="1800" b="0" i="1">
                          <a:latin typeface="Cambria Math" panose="02040503050406030204" pitchFamily="18" charset="0"/>
                        </a:rPr>
                        <m:t>𝑃</m:t>
                      </m:r>
                      <m:r>
                        <a:rPr lang="en-IN" sz="1800" b="0" i="1">
                          <a:latin typeface="Cambria Math" panose="02040503050406030204" pitchFamily="18" charset="0"/>
                        </a:rPr>
                        <m:t>)/</m:t>
                      </m:r>
                      <m:r>
                        <a:rPr lang="en-IN" sz="1800" b="0" i="1">
                          <a:latin typeface="Cambria Math" panose="02040503050406030204" pitchFamily="18" charset="0"/>
                        </a:rPr>
                        <m:t>𝑛</m:t>
                      </m:r>
                    </m:num>
                    <m:den>
                      <m:r>
                        <a:rPr lang="en-IN" sz="1800" b="0" i="1"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IN" sz="1800" b="0" i="1">
                          <a:latin typeface="Cambria Math" panose="02040503050406030204" pitchFamily="18" charset="0"/>
                        </a:rPr>
                        <m:t>𝐹</m:t>
                      </m:r>
                      <m:r>
                        <a:rPr lang="en-IN" sz="18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IN" sz="1800" b="0" i="1">
                          <a:latin typeface="Cambria Math" panose="02040503050406030204" pitchFamily="18" charset="0"/>
                        </a:rPr>
                        <m:t>𝑃</m:t>
                      </m:r>
                      <m:r>
                        <a:rPr lang="en-IN" sz="1800" b="0" i="1">
                          <a:latin typeface="Cambria Math" panose="02040503050406030204" pitchFamily="18" charset="0"/>
                        </a:rPr>
                        <m:t>)/2</m:t>
                      </m:r>
                    </m:den>
                  </m:f>
                </m:oMath>
              </a14:m>
              <a:endParaRPr lang="en-IN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BA5AD65-39AA-D70D-0B61-B03BBE094C7F}"/>
                </a:ext>
              </a:extLst>
            </xdr:cNvPr>
            <xdr:cNvSpPr txBox="1"/>
          </xdr:nvSpPr>
          <xdr:spPr>
            <a:xfrm>
              <a:off x="13307533" y="12891977"/>
              <a:ext cx="1391979" cy="4412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IN" sz="1800"/>
                <a:t>a = </a:t>
              </a:r>
              <a:r>
                <a:rPr lang="en-IN" sz="1800" i="0">
                  <a:latin typeface="Cambria Math" panose="02040503050406030204" pitchFamily="18" charset="0"/>
                </a:rPr>
                <a:t>(</a:t>
              </a:r>
              <a:r>
                <a:rPr lang="en-IN" sz="1800" b="0" i="0">
                  <a:latin typeface="Cambria Math" panose="02040503050406030204" pitchFamily="18" charset="0"/>
                </a:rPr>
                <a:t>𝐶+(𝐹−𝑃)/𝑛)/((𝐹+𝑃)/2)</a:t>
              </a:r>
              <a:endParaRPr lang="en-IN" sz="1800"/>
            </a:p>
          </xdr:txBody>
        </xdr:sp>
      </mc:Fallback>
    </mc:AlternateContent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A42973F-2DC9-44EF-BB01-0C52607CC94D}" name="Table3" displayName="Table3" ref="C28:D33" headerRowCount="0" totalsRowShown="0">
  <tableColumns count="2">
    <tableColumn id="1" xr3:uid="{5CFC1BD1-3490-47AF-8B63-AC52B732F404}" name="Column1" dataDxfId="7"/>
    <tableColumn id="2" xr3:uid="{C1F9EFD8-A8F4-4929-A11F-7BEC5D571702}" name="Column2" headerRowDxfId="6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51F08F-8E82-40AF-81E0-E0437B2A7659}" name="Table1" displayName="Table1" ref="H27:N48" headerRowCount="0" totalsRowCount="1">
  <tableColumns count="7">
    <tableColumn id="1" xr3:uid="{E125873A-7D29-4C21-A8CD-5776F44A3EE8}" name="Bond Cash Flow"/>
    <tableColumn id="2" xr3:uid="{B83689E1-B452-4527-A018-9E8BF75F8707}" name="Column1" dataDxfId="5" totalsRowDxfId="4"/>
    <tableColumn id="3" xr3:uid="{C33D22B4-E8EE-40DD-8A3D-4226D4F9E581}" name="Column2" dataDxfId="3" totalsRowDxfId="2"/>
    <tableColumn id="4" xr3:uid="{DD3151E7-EE33-45A5-87E8-A6061178CED2}" name="Column3">
      <calculatedColumnFormula>J27-I27</calculatedColumnFormula>
    </tableColumn>
    <tableColumn id="5" xr3:uid="{4192DDF1-8946-462E-A354-CA9591DE6A49}" name="Column4"/>
    <tableColumn id="6" xr3:uid="{96FDAAF6-C722-4F9E-99FD-316ED271BED8}" name="Column5" totalsRowLabel="Price" totalsRowDxfId="1">
      <calculatedColumnFormula>1/(1+$D$46/$D$32)^($D$42+$H$28-1)</calculatedColumnFormula>
    </tableColumn>
    <tableColumn id="7" xr3:uid="{1D52D935-7D4C-4C7E-8BF3-6030804CD386}" name="Column6" totalsRowFunction="custom">
      <calculatedColumnFormula>M27*L27</calculatedColumnFormula>
      <totalsRowFormula>SUM(N28:N47)</totalsRow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A021CD-C1B6-433D-9DE1-1D44B8DC87DF}" name="Table2" displayName="Table2" ref="I53:J55" headerRowCount="0" totalsRowShown="0">
  <tableColumns count="2">
    <tableColumn id="1" xr3:uid="{3C5AE57E-F70F-46CC-9583-6F9212A61F6F}" name="Column1" dataDxfId="0"/>
    <tableColumn id="2" xr3:uid="{CD44AD46-ECC9-4512-B206-42F35D9E8227}" name="Column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80C7A-4991-4411-B362-F9B807758738}">
  <dimension ref="A2:C5"/>
  <sheetViews>
    <sheetView showGridLines="0" tabSelected="1" workbookViewId="0">
      <selection activeCell="G8" sqref="G8"/>
    </sheetView>
  </sheetViews>
  <sheetFormatPr defaultRowHeight="14.4" x14ac:dyDescent="0.3"/>
  <cols>
    <col min="1" max="1" width="10.5546875" customWidth="1"/>
  </cols>
  <sheetData>
    <row r="2" spans="1:3" ht="18" x14ac:dyDescent="0.35">
      <c r="A2" s="21" t="s">
        <v>88</v>
      </c>
    </row>
    <row r="3" spans="1:3" ht="22.8" x14ac:dyDescent="0.4">
      <c r="B3" s="20" t="s">
        <v>87</v>
      </c>
      <c r="C3" s="19"/>
    </row>
    <row r="4" spans="1:3" ht="22.8" x14ac:dyDescent="0.4">
      <c r="B4" s="20" t="s">
        <v>86</v>
      </c>
      <c r="C4" s="19"/>
    </row>
    <row r="5" spans="1:3" ht="22.8" x14ac:dyDescent="0.4">
      <c r="B5" s="20" t="s">
        <v>89</v>
      </c>
      <c r="C5" s="1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94C21-5382-4E90-9027-65946EEF2AEE}">
  <sheetPr codeName="Sheet1"/>
  <dimension ref="A26:AA84"/>
  <sheetViews>
    <sheetView showGridLines="0" zoomScale="94" workbookViewId="0">
      <selection activeCell="Q69" sqref="Q69"/>
    </sheetView>
  </sheetViews>
  <sheetFormatPr defaultRowHeight="14.4" x14ac:dyDescent="0.3"/>
  <cols>
    <col min="3" max="3" width="15.109375" bestFit="1" customWidth="1"/>
    <col min="4" max="4" width="10.5546875" customWidth="1"/>
    <col min="6" max="6" width="11.6640625" bestFit="1" customWidth="1"/>
    <col min="8" max="8" width="16.44140625" customWidth="1"/>
    <col min="9" max="9" width="10.5546875" customWidth="1"/>
    <col min="10" max="10" width="11.5546875" customWidth="1"/>
    <col min="11" max="13" width="10.5546875" customWidth="1"/>
    <col min="14" max="14" width="11.109375" customWidth="1"/>
    <col min="15" max="16" width="10.5546875" customWidth="1"/>
    <col min="27" max="27" width="11" bestFit="1" customWidth="1"/>
  </cols>
  <sheetData>
    <row r="26" spans="1:14" x14ac:dyDescent="0.3">
      <c r="A26" s="18" t="s">
        <v>7</v>
      </c>
      <c r="B26" s="18"/>
      <c r="H26" s="4" t="s">
        <v>8</v>
      </c>
    </row>
    <row r="27" spans="1:14" x14ac:dyDescent="0.3">
      <c r="C27" s="4" t="s">
        <v>20</v>
      </c>
      <c r="D27">
        <v>1000</v>
      </c>
      <c r="H27" t="s">
        <v>3</v>
      </c>
      <c r="I27" t="s">
        <v>9</v>
      </c>
      <c r="J27" t="s">
        <v>10</v>
      </c>
      <c r="K27" t="s">
        <v>11</v>
      </c>
      <c r="L27" t="s">
        <v>24</v>
      </c>
      <c r="M27" t="s">
        <v>25</v>
      </c>
      <c r="N27" t="s">
        <v>12</v>
      </c>
    </row>
    <row r="28" spans="1:14" x14ac:dyDescent="0.3">
      <c r="C28" s="4" t="s">
        <v>5</v>
      </c>
      <c r="D28" s="1">
        <v>42415</v>
      </c>
      <c r="H28">
        <v>1</v>
      </c>
      <c r="I28" s="1">
        <v>42415</v>
      </c>
      <c r="J28" s="1">
        <v>42597</v>
      </c>
      <c r="K28">
        <f>J28-I28</f>
        <v>182</v>
      </c>
      <c r="L28">
        <f>$D$27*($D$31)/2</f>
        <v>30</v>
      </c>
      <c r="M28">
        <f t="shared" ref="M28:M47" si="0">1/(1+$D$47/$D$32)^($D$42+$H28-1)</f>
        <v>0.99707230151404258</v>
      </c>
      <c r="N28">
        <f>M28*L28</f>
        <v>29.912169045421276</v>
      </c>
    </row>
    <row r="29" spans="1:14" x14ac:dyDescent="0.3">
      <c r="C29" s="4" t="s">
        <v>6</v>
      </c>
      <c r="D29" s="1">
        <v>42531</v>
      </c>
      <c r="H29">
        <v>2</v>
      </c>
      <c r="I29" s="1">
        <v>42597</v>
      </c>
      <c r="J29" s="1">
        <v>42781</v>
      </c>
      <c r="K29">
        <f t="shared" ref="K29:K47" si="1">J29-I29</f>
        <v>184</v>
      </c>
      <c r="L29">
        <f t="shared" ref="L29:L45" si="2">$D$27*($D$31)/2</f>
        <v>30</v>
      </c>
      <c r="M29">
        <f t="shared" si="0"/>
        <v>0.98904328267805741</v>
      </c>
      <c r="N29">
        <f t="shared" ref="N29:N47" si="3">M29*L29</f>
        <v>29.671298480341722</v>
      </c>
    </row>
    <row r="30" spans="1:14" ht="16.2" x14ac:dyDescent="0.3">
      <c r="C30" s="4" t="s">
        <v>66</v>
      </c>
      <c r="D30">
        <v>101.07810000000001</v>
      </c>
      <c r="H30">
        <v>3</v>
      </c>
      <c r="I30" s="1">
        <v>42781</v>
      </c>
      <c r="J30" s="1">
        <v>42962</v>
      </c>
      <c r="K30">
        <f t="shared" si="1"/>
        <v>181</v>
      </c>
      <c r="L30">
        <f t="shared" si="2"/>
        <v>30</v>
      </c>
      <c r="M30">
        <f t="shared" si="0"/>
        <v>0.98107891827422411</v>
      </c>
      <c r="N30">
        <f t="shared" si="3"/>
        <v>29.432367548226722</v>
      </c>
    </row>
    <row r="31" spans="1:14" x14ac:dyDescent="0.3">
      <c r="C31" s="4" t="s">
        <v>3</v>
      </c>
      <c r="D31" s="5">
        <v>0.06</v>
      </c>
      <c r="H31">
        <v>4</v>
      </c>
      <c r="I31" s="1">
        <v>42962</v>
      </c>
      <c r="J31" s="1">
        <v>43146</v>
      </c>
      <c r="K31">
        <f t="shared" si="1"/>
        <v>184</v>
      </c>
      <c r="L31">
        <f t="shared" si="2"/>
        <v>30</v>
      </c>
      <c r="M31">
        <f t="shared" si="0"/>
        <v>0.97317868766662385</v>
      </c>
      <c r="N31">
        <f t="shared" si="3"/>
        <v>29.195360629998717</v>
      </c>
    </row>
    <row r="32" spans="1:14" x14ac:dyDescent="0.3">
      <c r="C32" s="4" t="s">
        <v>4</v>
      </c>
      <c r="D32">
        <v>2</v>
      </c>
      <c r="H32">
        <v>5</v>
      </c>
      <c r="I32" s="1">
        <v>43146</v>
      </c>
      <c r="J32" s="1">
        <v>43327</v>
      </c>
      <c r="K32">
        <f t="shared" si="1"/>
        <v>181</v>
      </c>
      <c r="L32">
        <f t="shared" si="2"/>
        <v>30</v>
      </c>
      <c r="M32">
        <f t="shared" si="0"/>
        <v>0.96534207441180808</v>
      </c>
      <c r="N32">
        <f t="shared" si="3"/>
        <v>28.960262232354243</v>
      </c>
    </row>
    <row r="33" spans="2:19" x14ac:dyDescent="0.3">
      <c r="C33" s="4" t="s">
        <v>0</v>
      </c>
      <c r="D33" s="1">
        <v>46068</v>
      </c>
      <c r="E33">
        <f>(D33-D29)/365</f>
        <v>9.6904109589041099</v>
      </c>
      <c r="H33">
        <v>6</v>
      </c>
      <c r="I33" s="1">
        <v>43327</v>
      </c>
      <c r="J33" s="1">
        <v>43511</v>
      </c>
      <c r="K33">
        <f t="shared" si="1"/>
        <v>184</v>
      </c>
      <c r="L33">
        <f t="shared" si="2"/>
        <v>30</v>
      </c>
      <c r="M33">
        <f t="shared" si="0"/>
        <v>0.95756856622503783</v>
      </c>
      <c r="N33">
        <f t="shared" si="3"/>
        <v>28.727056986751133</v>
      </c>
    </row>
    <row r="34" spans="2:19" x14ac:dyDescent="0.3">
      <c r="H34">
        <v>7</v>
      </c>
      <c r="I34" s="1">
        <v>43511</v>
      </c>
      <c r="J34" s="1">
        <v>43692</v>
      </c>
      <c r="K34">
        <f t="shared" si="1"/>
        <v>181</v>
      </c>
      <c r="L34">
        <f t="shared" si="2"/>
        <v>30</v>
      </c>
      <c r="M34">
        <f t="shared" si="0"/>
        <v>0.94985765494679508</v>
      </c>
      <c r="N34">
        <f t="shared" si="3"/>
        <v>28.495729648403852</v>
      </c>
    </row>
    <row r="35" spans="2:19" x14ac:dyDescent="0.3">
      <c r="C35" t="s">
        <v>22</v>
      </c>
      <c r="D35" s="3">
        <f>(D33-D28)/365*D32</f>
        <v>20.016438356164382</v>
      </c>
      <c r="H35">
        <v>8</v>
      </c>
      <c r="I35" s="1">
        <v>43692</v>
      </c>
      <c r="J35" s="1">
        <v>43876</v>
      </c>
      <c r="K35">
        <f t="shared" si="1"/>
        <v>184</v>
      </c>
      <c r="L35">
        <f t="shared" si="2"/>
        <v>30</v>
      </c>
      <c r="M35">
        <f t="shared" si="0"/>
        <v>0.94220883650956444</v>
      </c>
      <c r="N35">
        <f t="shared" si="3"/>
        <v>28.266265095286933</v>
      </c>
    </row>
    <row r="36" spans="2:19" x14ac:dyDescent="0.3">
      <c r="H36">
        <v>9</v>
      </c>
      <c r="I36" s="1">
        <v>43876</v>
      </c>
      <c r="J36" s="1">
        <v>44058</v>
      </c>
      <c r="K36">
        <f t="shared" si="1"/>
        <v>182</v>
      </c>
      <c r="L36">
        <f t="shared" si="2"/>
        <v>30</v>
      </c>
      <c r="M36">
        <f t="shared" si="0"/>
        <v>0.93462161090488194</v>
      </c>
      <c r="N36">
        <f t="shared" si="3"/>
        <v>28.038648327146458</v>
      </c>
    </row>
    <row r="37" spans="2:19" x14ac:dyDescent="0.3">
      <c r="B37" s="4" t="s">
        <v>15</v>
      </c>
      <c r="H37">
        <v>10</v>
      </c>
      <c r="I37" s="1">
        <v>44058</v>
      </c>
      <c r="J37" s="1">
        <v>44242</v>
      </c>
      <c r="K37">
        <f t="shared" si="1"/>
        <v>184</v>
      </c>
      <c r="L37">
        <f t="shared" si="2"/>
        <v>30</v>
      </c>
      <c r="M37">
        <f t="shared" si="0"/>
        <v>0.92709548215064919</v>
      </c>
      <c r="N37">
        <f t="shared" si="3"/>
        <v>27.812864464519475</v>
      </c>
    </row>
    <row r="38" spans="2:19" x14ac:dyDescent="0.3">
      <c r="C38" s="14" t="s">
        <v>1</v>
      </c>
      <c r="D38" s="13">
        <f>D29-D28</f>
        <v>116</v>
      </c>
      <c r="H38">
        <v>11</v>
      </c>
      <c r="I38" s="1">
        <v>44242</v>
      </c>
      <c r="J38" s="1">
        <v>44423</v>
      </c>
      <c r="K38">
        <f t="shared" si="1"/>
        <v>181</v>
      </c>
      <c r="L38">
        <f t="shared" si="2"/>
        <v>30</v>
      </c>
      <c r="M38">
        <f t="shared" si="0"/>
        <v>0.91962995825870952</v>
      </c>
      <c r="N38">
        <f t="shared" si="3"/>
        <v>27.588898747761284</v>
      </c>
    </row>
    <row r="39" spans="2:19" x14ac:dyDescent="0.3">
      <c r="C39" s="14" t="s">
        <v>16</v>
      </c>
      <c r="D39" s="13">
        <f>K28-D38</f>
        <v>66</v>
      </c>
      <c r="H39">
        <v>12</v>
      </c>
      <c r="I39" s="1">
        <v>44423</v>
      </c>
      <c r="J39" s="1">
        <v>44607</v>
      </c>
      <c r="K39">
        <f t="shared" si="1"/>
        <v>184</v>
      </c>
      <c r="L39">
        <f t="shared" si="2"/>
        <v>30</v>
      </c>
      <c r="M39">
        <f t="shared" si="0"/>
        <v>0.91222455120268831</v>
      </c>
      <c r="N39">
        <f t="shared" si="3"/>
        <v>27.366736536080648</v>
      </c>
    </row>
    <row r="40" spans="2:19" x14ac:dyDescent="0.3">
      <c r="C40" s="14" t="s">
        <v>17</v>
      </c>
      <c r="D40" s="13">
        <f>D38+D39</f>
        <v>182</v>
      </c>
      <c r="H40">
        <v>13</v>
      </c>
      <c r="I40" s="1">
        <v>44607</v>
      </c>
      <c r="J40" s="1">
        <v>44788</v>
      </c>
      <c r="K40">
        <f t="shared" si="1"/>
        <v>181</v>
      </c>
      <c r="L40">
        <f t="shared" si="2"/>
        <v>30</v>
      </c>
      <c r="M40">
        <f t="shared" si="0"/>
        <v>0.90487877688608886</v>
      </c>
      <c r="N40">
        <f t="shared" si="3"/>
        <v>27.146363306582664</v>
      </c>
    </row>
    <row r="41" spans="2:19" x14ac:dyDescent="0.3">
      <c r="C41" s="14" t="s">
        <v>18</v>
      </c>
      <c r="D41" s="13">
        <f>D38/D40</f>
        <v>0.63736263736263732</v>
      </c>
      <c r="F41" s="22"/>
      <c r="H41">
        <v>14</v>
      </c>
      <c r="I41" s="1">
        <v>44788</v>
      </c>
      <c r="J41" s="1">
        <v>44972</v>
      </c>
      <c r="K41">
        <f t="shared" si="1"/>
        <v>184</v>
      </c>
      <c r="L41">
        <f t="shared" si="2"/>
        <v>30</v>
      </c>
      <c r="M41">
        <f t="shared" si="0"/>
        <v>0.8975921551106476</v>
      </c>
      <c r="N41">
        <f t="shared" si="3"/>
        <v>26.927764653319429</v>
      </c>
    </row>
    <row r="42" spans="2:19" x14ac:dyDescent="0.3">
      <c r="C42" s="14" t="s">
        <v>19</v>
      </c>
      <c r="D42" s="13">
        <f>D39/D40</f>
        <v>0.36263736263736263</v>
      </c>
      <c r="H42">
        <v>15</v>
      </c>
      <c r="I42" s="1">
        <v>44972</v>
      </c>
      <c r="J42" s="1">
        <v>45153</v>
      </c>
      <c r="K42">
        <f t="shared" si="1"/>
        <v>181</v>
      </c>
      <c r="L42">
        <f t="shared" si="2"/>
        <v>30</v>
      </c>
      <c r="M42">
        <f t="shared" si="0"/>
        <v>0.89036420954494244</v>
      </c>
      <c r="N42">
        <f t="shared" si="3"/>
        <v>26.710926286348272</v>
      </c>
    </row>
    <row r="43" spans="2:19" x14ac:dyDescent="0.3">
      <c r="H43">
        <v>16</v>
      </c>
      <c r="I43" s="1">
        <v>45153</v>
      </c>
      <c r="J43" s="1">
        <v>45337</v>
      </c>
      <c r="K43">
        <f t="shared" si="1"/>
        <v>184</v>
      </c>
      <c r="L43">
        <f t="shared" si="2"/>
        <v>30</v>
      </c>
      <c r="M43">
        <f t="shared" si="0"/>
        <v>0.88319446769325516</v>
      </c>
      <c r="N43">
        <f t="shared" si="3"/>
        <v>26.495834030797656</v>
      </c>
    </row>
    <row r="44" spans="2:19" x14ac:dyDescent="0.3">
      <c r="H44">
        <v>17</v>
      </c>
      <c r="I44" s="1">
        <v>45337</v>
      </c>
      <c r="J44" s="1">
        <v>45519</v>
      </c>
      <c r="K44">
        <f t="shared" si="1"/>
        <v>182</v>
      </c>
      <c r="L44">
        <f t="shared" si="2"/>
        <v>30</v>
      </c>
      <c r="M44">
        <f t="shared" si="0"/>
        <v>0.87608246086468411</v>
      </c>
      <c r="N44">
        <f t="shared" si="3"/>
        <v>26.282473825940524</v>
      </c>
    </row>
    <row r="45" spans="2:19" x14ac:dyDescent="0.3">
      <c r="C45" t="s">
        <v>13</v>
      </c>
      <c r="H45">
        <v>18</v>
      </c>
      <c r="I45" s="1">
        <v>45519</v>
      </c>
      <c r="J45" s="1">
        <v>45703</v>
      </c>
      <c r="K45">
        <f t="shared" si="1"/>
        <v>184</v>
      </c>
      <c r="L45">
        <f t="shared" si="2"/>
        <v>30</v>
      </c>
      <c r="M45">
        <f t="shared" si="0"/>
        <v>0.86902772414250495</v>
      </c>
      <c r="N45">
        <f t="shared" si="3"/>
        <v>26.070831724275148</v>
      </c>
    </row>
    <row r="46" spans="2:19" ht="16.2" x14ac:dyDescent="0.3">
      <c r="C46" s="15" t="s">
        <v>78</v>
      </c>
      <c r="D46" s="16">
        <f>(($L$28)+(Face_Value-TargetPrice)/TimePeriod)/((Face_Value+TargetPrice)/2)</f>
        <v>7.9161393927202131E-3</v>
      </c>
      <c r="H46">
        <v>19</v>
      </c>
      <c r="I46" s="1">
        <v>45703</v>
      </c>
      <c r="J46" s="1">
        <v>45884</v>
      </c>
      <c r="K46">
        <f t="shared" si="1"/>
        <v>181</v>
      </c>
      <c r="L46">
        <f>$D$27*($D$31)/2</f>
        <v>30</v>
      </c>
      <c r="M46">
        <f t="shared" si="0"/>
        <v>0.86202979635377952</v>
      </c>
      <c r="N46">
        <f t="shared" si="3"/>
        <v>25.860893890613387</v>
      </c>
    </row>
    <row r="47" spans="2:19" x14ac:dyDescent="0.3">
      <c r="C47" s="10" t="s">
        <v>14</v>
      </c>
      <c r="D47" s="11">
        <f>Result</f>
        <v>1.6235930169294033E-2</v>
      </c>
      <c r="H47">
        <v>20</v>
      </c>
      <c r="I47" s="1">
        <v>45884</v>
      </c>
      <c r="J47" s="1">
        <v>46068</v>
      </c>
      <c r="K47">
        <f t="shared" si="1"/>
        <v>184</v>
      </c>
      <c r="L47">
        <f>$D$27*($D$31)/2+$D$27</f>
        <v>1030</v>
      </c>
      <c r="M47">
        <f t="shared" si="0"/>
        <v>0.85508822003920826</v>
      </c>
      <c r="N47">
        <f t="shared" si="3"/>
        <v>880.74086664038452</v>
      </c>
      <c r="R47" t="s">
        <v>59</v>
      </c>
      <c r="S47" t="s">
        <v>60</v>
      </c>
    </row>
    <row r="48" spans="2:19" x14ac:dyDescent="0.3">
      <c r="I48" s="1"/>
      <c r="J48" s="1"/>
      <c r="M48" s="4" t="s">
        <v>26</v>
      </c>
      <c r="N48">
        <f>SUM(N28:N47)</f>
        <v>1409.703612100554</v>
      </c>
      <c r="S48" t="s">
        <v>61</v>
      </c>
    </row>
    <row r="49" spans="9:27" x14ac:dyDescent="0.3">
      <c r="S49" t="s">
        <v>62</v>
      </c>
    </row>
    <row r="50" spans="9:27" x14ac:dyDescent="0.3">
      <c r="S50" t="s">
        <v>63</v>
      </c>
      <c r="AA50" s="6"/>
    </row>
    <row r="51" spans="9:27" x14ac:dyDescent="0.3">
      <c r="N51" t="s">
        <v>23</v>
      </c>
      <c r="S51" t="s">
        <v>64</v>
      </c>
    </row>
    <row r="52" spans="9:27" x14ac:dyDescent="0.3">
      <c r="N52" s="12">
        <f>0.00000001</f>
        <v>1E-8</v>
      </c>
      <c r="S52" t="s">
        <v>65</v>
      </c>
    </row>
    <row r="53" spans="9:27" x14ac:dyDescent="0.3">
      <c r="I53" s="4" t="s">
        <v>2</v>
      </c>
      <c r="J53">
        <f>1390.469</f>
        <v>1390.4690000000001</v>
      </c>
    </row>
    <row r="54" spans="9:27" x14ac:dyDescent="0.3">
      <c r="I54" s="4" t="s">
        <v>21</v>
      </c>
      <c r="J54">
        <f>($D$31*$D$27)/$D$32*$D$41</f>
        <v>19.12087912087912</v>
      </c>
      <c r="M54" s="18" t="s">
        <v>28</v>
      </c>
      <c r="N54" s="18"/>
      <c r="W54" s="2"/>
    </row>
    <row r="55" spans="9:27" ht="16.2" x14ac:dyDescent="0.3">
      <c r="I55" s="4" t="s">
        <v>67</v>
      </c>
      <c r="J55">
        <f>J54+J53</f>
        <v>1409.5898791208792</v>
      </c>
      <c r="M55" s="7" t="s">
        <v>29</v>
      </c>
      <c r="N55" s="7">
        <v>1.1917725730777309E-2</v>
      </c>
    </row>
    <row r="56" spans="9:27" x14ac:dyDescent="0.3">
      <c r="M56" s="7" t="s">
        <v>30</v>
      </c>
      <c r="N56" s="7">
        <v>1.4033746404474721E-2</v>
      </c>
    </row>
    <row r="57" spans="9:27" ht="16.2" x14ac:dyDescent="0.3">
      <c r="M57" s="7" t="s">
        <v>34</v>
      </c>
      <c r="N57" s="7">
        <v>1.5123576164929224E-2</v>
      </c>
      <c r="Q57" t="s">
        <v>68</v>
      </c>
      <c r="S57" s="4" t="s">
        <v>70</v>
      </c>
    </row>
    <row r="58" spans="9:27" x14ac:dyDescent="0.3">
      <c r="M58" s="7" t="s">
        <v>33</v>
      </c>
      <c r="N58" s="7">
        <v>1.5676874894401782E-2</v>
      </c>
      <c r="S58" t="s">
        <v>69</v>
      </c>
    </row>
    <row r="59" spans="9:27" x14ac:dyDescent="0.3">
      <c r="M59" s="7" t="s">
        <v>32</v>
      </c>
      <c r="N59" s="7">
        <v>1.5955677658608433E-2</v>
      </c>
      <c r="S59" t="s">
        <v>71</v>
      </c>
    </row>
    <row r="60" spans="9:27" x14ac:dyDescent="0.3">
      <c r="I60" s="9" t="s">
        <v>27</v>
      </c>
      <c r="J60" s="8">
        <v>1.6235930169294033E-2</v>
      </c>
      <c r="M60" s="7" t="s">
        <v>35</v>
      </c>
      <c r="N60" s="7">
        <v>1.6095624828333072E-2</v>
      </c>
    </row>
    <row r="61" spans="9:27" ht="16.2" x14ac:dyDescent="0.3">
      <c r="M61" s="7" t="s">
        <v>36</v>
      </c>
      <c r="N61" s="7">
        <v>1.6165735806626832E-2</v>
      </c>
      <c r="Q61" t="s">
        <v>72</v>
      </c>
      <c r="S61" s="4" t="s">
        <v>73</v>
      </c>
    </row>
    <row r="62" spans="9:27" x14ac:dyDescent="0.3">
      <c r="M62" s="7" t="s">
        <v>37</v>
      </c>
      <c r="N62" s="7">
        <v>1.6200825763519902E-2</v>
      </c>
      <c r="S62" t="s">
        <v>74</v>
      </c>
    </row>
    <row r="63" spans="9:27" x14ac:dyDescent="0.3">
      <c r="M63" s="7" t="s">
        <v>31</v>
      </c>
      <c r="N63" s="17">
        <v>1.6218379373894261E-2</v>
      </c>
      <c r="S63" t="s">
        <v>75</v>
      </c>
    </row>
    <row r="64" spans="9:27" x14ac:dyDescent="0.3">
      <c r="M64" s="7" t="s">
        <v>38</v>
      </c>
      <c r="N64" s="7">
        <v>1.6227158338941453E-2</v>
      </c>
      <c r="S64" t="s">
        <v>76</v>
      </c>
    </row>
    <row r="65" spans="9:23" x14ac:dyDescent="0.3">
      <c r="M65" s="7" t="s">
        <v>39</v>
      </c>
      <c r="N65" s="7">
        <v>1.6231548361665245E-2</v>
      </c>
      <c r="S65" t="s">
        <v>77</v>
      </c>
    </row>
    <row r="66" spans="9:23" x14ac:dyDescent="0.3">
      <c r="I66" t="s">
        <v>85</v>
      </c>
      <c r="M66" s="7" t="s">
        <v>40</v>
      </c>
      <c r="N66" s="7">
        <v>1.6233743508106448E-2</v>
      </c>
    </row>
    <row r="67" spans="9:23" x14ac:dyDescent="0.3">
      <c r="M67" s="7" t="s">
        <v>41</v>
      </c>
      <c r="N67" s="7">
        <v>1.6234841115100644E-2</v>
      </c>
    </row>
    <row r="68" spans="9:23" ht="16.2" x14ac:dyDescent="0.3">
      <c r="M68" s="7" t="s">
        <v>42</v>
      </c>
      <c r="N68" s="7">
        <v>1.6235389927041596E-2</v>
      </c>
      <c r="Q68" t="s">
        <v>91</v>
      </c>
      <c r="S68" t="s">
        <v>79</v>
      </c>
    </row>
    <row r="69" spans="9:23" x14ac:dyDescent="0.3">
      <c r="M69" s="7" t="s">
        <v>43</v>
      </c>
      <c r="N69" s="7">
        <v>1.6235664335122937E-2</v>
      </c>
    </row>
    <row r="70" spans="9:23" x14ac:dyDescent="0.3">
      <c r="M70" s="7" t="s">
        <v>44</v>
      </c>
      <c r="N70" s="7">
        <v>1.6235801539691484E-2</v>
      </c>
      <c r="W70" s="23" t="s">
        <v>90</v>
      </c>
    </row>
    <row r="71" spans="9:23" x14ac:dyDescent="0.3">
      <c r="M71" s="7" t="s">
        <v>45</v>
      </c>
      <c r="N71" s="7">
        <v>1.6235870142107672E-2</v>
      </c>
    </row>
    <row r="72" spans="9:23" x14ac:dyDescent="0.3">
      <c r="M72" s="7" t="s">
        <v>46</v>
      </c>
      <c r="N72" s="7">
        <v>1.6235904443348752E-2</v>
      </c>
    </row>
    <row r="73" spans="9:23" x14ac:dyDescent="0.3">
      <c r="M73" s="7" t="s">
        <v>47</v>
      </c>
      <c r="N73" s="7">
        <v>1.623592159397759E-2</v>
      </c>
      <c r="S73" t="s">
        <v>80</v>
      </c>
    </row>
    <row r="74" spans="9:23" x14ac:dyDescent="0.3">
      <c r="M74" s="7" t="s">
        <v>48</v>
      </c>
      <c r="N74" s="7">
        <v>1.6235930169294033E-2</v>
      </c>
      <c r="S74" t="s">
        <v>82</v>
      </c>
    </row>
    <row r="75" spans="9:23" x14ac:dyDescent="0.3">
      <c r="M75" s="7" t="s">
        <v>49</v>
      </c>
      <c r="N75" s="7"/>
      <c r="S75" t="s">
        <v>81</v>
      </c>
    </row>
    <row r="76" spans="9:23" x14ac:dyDescent="0.3">
      <c r="M76" s="7" t="s">
        <v>50</v>
      </c>
      <c r="N76" s="7"/>
      <c r="S76" t="s">
        <v>83</v>
      </c>
    </row>
    <row r="77" spans="9:23" x14ac:dyDescent="0.3">
      <c r="M77" s="7" t="s">
        <v>51</v>
      </c>
      <c r="N77" s="7"/>
      <c r="S77" t="s">
        <v>84</v>
      </c>
    </row>
    <row r="78" spans="9:23" x14ac:dyDescent="0.3">
      <c r="M78" s="7" t="s">
        <v>52</v>
      </c>
      <c r="N78" s="7"/>
    </row>
    <row r="79" spans="9:23" x14ac:dyDescent="0.3">
      <c r="M79" s="7" t="s">
        <v>53</v>
      </c>
      <c r="N79" s="7"/>
    </row>
    <row r="80" spans="9:23" x14ac:dyDescent="0.3">
      <c r="M80" s="7" t="s">
        <v>54</v>
      </c>
      <c r="N80" s="7"/>
    </row>
    <row r="81" spans="13:14" x14ac:dyDescent="0.3">
      <c r="M81" s="7" t="s">
        <v>55</v>
      </c>
      <c r="N81" s="7"/>
    </row>
    <row r="82" spans="13:14" x14ac:dyDescent="0.3">
      <c r="M82" s="7" t="s">
        <v>56</v>
      </c>
      <c r="N82" s="7"/>
    </row>
    <row r="83" spans="13:14" x14ac:dyDescent="0.3">
      <c r="M83" s="7" t="s">
        <v>57</v>
      </c>
      <c r="N83" s="7"/>
    </row>
    <row r="84" spans="13:14" x14ac:dyDescent="0.3">
      <c r="M84" s="7" t="s">
        <v>58</v>
      </c>
      <c r="N84" s="7"/>
    </row>
  </sheetData>
  <mergeCells count="2">
    <mergeCell ref="A26:B26"/>
    <mergeCell ref="M54:N54"/>
  </mergeCells>
  <phoneticPr fontId="7" type="noConversion"/>
  <pageMargins left="0.7" right="0.7" top="0.75" bottom="0.75" header="0.3" footer="0.3"/>
  <pageSetup orientation="portrait" r:id="rId1"/>
  <ignoredErrors>
    <ignoredError sqref="K27 M27:M47 N27" calculatedColumn="1"/>
  </ignoredErrors>
  <drawing r:id="rId2"/>
  <tableParts count="3"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Summary</vt:lpstr>
      <vt:lpstr>Bond_Yield</vt:lpstr>
      <vt:lpstr>CouponFraction</vt:lpstr>
      <vt:lpstr>CouponRate</vt:lpstr>
      <vt:lpstr>Face_Value</vt:lpstr>
      <vt:lpstr>Frequency</vt:lpstr>
      <vt:lpstr>GuessYTM</vt:lpstr>
      <vt:lpstr>IterationCount</vt:lpstr>
      <vt:lpstr>IterationResults</vt:lpstr>
      <vt:lpstr>Result</vt:lpstr>
      <vt:lpstr>TargetPrice</vt:lpstr>
      <vt:lpstr>TimePeriod</vt:lpstr>
      <vt:lpstr>Tolerance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 UDAY WASHIKAR</dc:creator>
  <cp:lastModifiedBy>TUSHAR UDAY WASHIKAR</cp:lastModifiedBy>
  <dcterms:created xsi:type="dcterms:W3CDTF">2024-06-17T06:03:23Z</dcterms:created>
  <dcterms:modified xsi:type="dcterms:W3CDTF">2024-07-23T08:11:21Z</dcterms:modified>
</cp:coreProperties>
</file>